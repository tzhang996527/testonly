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I307451/Documents/"/>
    </mc:Choice>
  </mc:AlternateContent>
  <xr:revisionPtr revIDLastSave="0" documentId="13_ncr:1_{D334C582-4074-964C-81EE-7F93352ABB0D}" xr6:coauthVersionLast="47" xr6:coauthVersionMax="47" xr10:uidLastSave="{00000000-0000-0000-0000-000000000000}"/>
  <bookViews>
    <workbookView xWindow="39060" yWindow="960" windowWidth="27640" windowHeight="15480" xr2:uid="{8B24A789-6C19-6D4B-A817-55A0327FB0D5}"/>
  </bookViews>
  <sheets>
    <sheet name="G-1调查" sheetId="2" r:id="rId1"/>
    <sheet name="G-2风险" sheetId="3" r:id="rId2"/>
    <sheet name="独立性调查G-28" sheetId="4" r:id="rId3"/>
  </sheets>
  <externalReferences>
    <externalReference r:id="rId4"/>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4" l="1"/>
  <c r="A3" i="4"/>
  <c r="E3" i="4"/>
  <c r="E26" i="4"/>
  <c r="B1" i="3"/>
  <c r="B2" i="3"/>
  <c r="D40" i="3"/>
  <c r="F45" i="3"/>
  <c r="F48" i="3"/>
  <c r="H22" i="2"/>
  <c r="E21" i="2"/>
  <c r="D19" i="2"/>
  <c r="F18" i="2"/>
  <c r="D18" i="2"/>
  <c r="D16" i="2"/>
  <c r="D15" i="2"/>
  <c r="D14" i="2"/>
  <c r="D13" i="2"/>
  <c r="D12" i="2"/>
  <c r="D11" i="2"/>
  <c r="D10" i="2"/>
  <c r="H9" i="2"/>
  <c r="F9" i="2"/>
  <c r="D9" i="2"/>
  <c r="F8" i="2"/>
  <c r="D8" i="2"/>
  <c r="F7" i="2"/>
  <c r="D7" i="2"/>
  <c r="H6" i="2"/>
  <c r="F6" i="2"/>
  <c r="D6" i="2"/>
  <c r="D5" i="2"/>
  <c r="B2" i="2"/>
  <c r="B1" i="2"/>
</calcChain>
</file>

<file path=xl/sharedStrings.xml><?xml version="1.0" encoding="utf-8"?>
<sst xmlns="http://schemas.openxmlformats.org/spreadsheetml/2006/main" count="150" uniqueCount="111">
  <si>
    <t>评估业务基本事项调查表</t>
  </si>
  <si>
    <t xml:space="preserve">                                                                </t>
  </si>
  <si>
    <t>索引号：G-1</t>
  </si>
  <si>
    <t>项目名称</t>
  </si>
  <si>
    <t>委托人</t>
  </si>
  <si>
    <t>联系人</t>
  </si>
  <si>
    <t>电话</t>
  </si>
  <si>
    <t>被评估单位</t>
  </si>
  <si>
    <t>名称</t>
  </si>
  <si>
    <t>地址</t>
  </si>
  <si>
    <t>法定代表人</t>
  </si>
  <si>
    <t>企业性质</t>
  </si>
  <si>
    <t>注册资金</t>
  </si>
  <si>
    <t>经营范围</t>
  </si>
  <si>
    <t>其他报告使用人</t>
  </si>
  <si>
    <t xml:space="preserve">  委托人、被评估   单位、其他报告     使用人的关系</t>
  </si>
  <si>
    <t>项目涉及的经济     行为的审批情况</t>
  </si>
  <si>
    <t>委托人及相关当事人工作配合和协助等需要明确的重要事项</t>
  </si>
  <si>
    <t>评估目的</t>
  </si>
  <si>
    <t xml:space="preserve"> 评估对象和           评估范围</t>
  </si>
  <si>
    <t>主要资产状况</t>
  </si>
  <si>
    <t>流动资产、流动负债，长期资产、长期负债</t>
  </si>
  <si>
    <t>价值类型</t>
  </si>
  <si>
    <t>评估基准日</t>
  </si>
  <si>
    <t xml:space="preserve"> 评估假设和           限制条件</t>
  </si>
  <si>
    <t>评估报告的使用范围、提交时间和方式</t>
  </si>
  <si>
    <t>详见资产评估委托合同</t>
  </si>
  <si>
    <t>评估服务费总额、 支付时间和方式</t>
  </si>
  <si>
    <t>万元</t>
  </si>
  <si>
    <t>洽谈人：</t>
  </si>
  <si>
    <t>审批人：</t>
  </si>
  <si>
    <t>日期：</t>
  </si>
  <si>
    <r>
      <rPr>
        <sz val="12"/>
        <rFont val="宋体"/>
        <family val="3"/>
        <charset val="134"/>
      </rPr>
      <t>填表人：</t>
    </r>
  </si>
  <si>
    <t>索引号：G-2</t>
  </si>
  <si>
    <t>签字：</t>
  </si>
  <si>
    <t>负责人的评价及批示：</t>
  </si>
  <si>
    <t xml:space="preserve">是否接受委托：  是√否                洽谈人签字：  </t>
  </si>
  <si>
    <t>主要评估风险、风险可控情况及能够采取的主要措施：</t>
  </si>
  <si>
    <t>结论：       风险水平      很低      低       一般   √    较高         很高</t>
  </si>
  <si>
    <t>否</t>
  </si>
  <si>
    <t>4、是否存在两个或两个以上利益对立的评估报告使用人？</t>
  </si>
  <si>
    <t>3、评估报告是否提交国资监管部门备案或核准？</t>
  </si>
  <si>
    <t>暂无</t>
  </si>
  <si>
    <t>2、评估报告是否可能被其他文件、资料引用？</t>
  </si>
  <si>
    <t>已明确</t>
  </si>
  <si>
    <t>1、是否需公诸于公开媒体？是否已明确报告使用人？</t>
  </si>
  <si>
    <t>五、评估报告使用对项目风险的影响</t>
  </si>
  <si>
    <t>无</t>
  </si>
  <si>
    <t>5、拟聘请的专家或工作人员是否符合独立性的要求？是否具备相应的专业特长、资格等能力？</t>
  </si>
  <si>
    <t>是</t>
  </si>
  <si>
    <t>4、拟承接该项目的评估专业人员及其他本机构评估人员是否符合独立性的要求？</t>
  </si>
  <si>
    <t>3、评估项目组成人员是否具备承接该项目的能力？是否具备与评估业务相关的专业知识及评估经验？</t>
  </si>
  <si>
    <t>2、承接该项目是否影响本机构的独立性？是否分别接受利益双方的委托？</t>
  </si>
  <si>
    <t>是，否</t>
  </si>
  <si>
    <t>1、是否具备承接该项目的资质要求？是否存在利害关系？</t>
  </si>
  <si>
    <t>四、对本机构及评估人员的综合评价</t>
  </si>
  <si>
    <t>3、有无抵押、质押、诉讼、抵债等资产的安全与完整保证程度低的资产？是否存在法律纠纷？</t>
  </si>
  <si>
    <t>2、有无特殊而本机构没有评估经验的资产？</t>
  </si>
  <si>
    <t>1、待估资产法律权属资料是否完整、清晰？</t>
  </si>
  <si>
    <t>三、对评估对象的综合评价</t>
  </si>
  <si>
    <t>一般</t>
  </si>
  <si>
    <t>9、被评估单位及主要负责人社会地位如何？</t>
  </si>
  <si>
    <t>8、被评估单位财务状况是否稳定？</t>
  </si>
  <si>
    <t>7、被评估单位基础资料档案管理是否健全？</t>
  </si>
  <si>
    <t>6、被评估单位内部管理和控制制度是否健全、有效？</t>
  </si>
  <si>
    <t>5、被评估单位内部组织机构是否稳定？</t>
  </si>
  <si>
    <t>4、被评估单位所处行业环境是否稳定？</t>
  </si>
  <si>
    <t>3、被评估单位的产权是否明晰？</t>
  </si>
  <si>
    <t>2、被评估单位是否面临财务危机？（如到期债务不能偿还或抵（质）押资产可能被处置？）</t>
  </si>
  <si>
    <t>1、相关人员对评估工作是否配合？</t>
  </si>
  <si>
    <t>二、对被评估单位综合评价</t>
  </si>
  <si>
    <t>6、委托人及主要负责人社会地位如何？</t>
  </si>
  <si>
    <t>5、委托人有无非诚信记录？</t>
  </si>
  <si>
    <t>正常</t>
  </si>
  <si>
    <t>4、委托人与被评估单位的关系如何？</t>
  </si>
  <si>
    <t>无特殊要求</t>
  </si>
  <si>
    <t>3、委托人对估值是否有特殊要求？或估值预期是否合理？</t>
  </si>
  <si>
    <t>2、委托人对时间要求是否紧迫？</t>
  </si>
  <si>
    <t>明确</t>
  </si>
  <si>
    <t>1、委托评估目的是否明确？是否存在风险？</t>
  </si>
  <si>
    <t>一、对委托人综合评价</t>
  </si>
  <si>
    <t>情况</t>
  </si>
  <si>
    <t>调查内容</t>
  </si>
  <si>
    <t>评估项目综合评价表</t>
  </si>
  <si>
    <t>项目组其他成员（签名）：</t>
  </si>
  <si>
    <t xml:space="preserve">资产评估专业人员（签名）：                                                             </t>
  </si>
  <si>
    <t>√</t>
  </si>
  <si>
    <t>当您在执行评估或其他鉴证业务时遇到可能损害独立性的情形时，是否主动向本公司声明并申请回避？</t>
  </si>
  <si>
    <t>评估专业人员是否有兼营或兼任与其执行的评估或其他鉴证业务不相容的其他业务或职务的情形？</t>
  </si>
  <si>
    <t>您是否收到有关单位或个人不恰当的干预或降低收费的压力而不恰当地缩小工作范围？</t>
  </si>
  <si>
    <t>您是否曾在评估重大问题上与委托人存在分歧而受到解聘或降低收费威胁时而放弃原则？</t>
  </si>
  <si>
    <t>您及您亲属是否为委托人或者相关当事人提供直接影响当前业务项目的其他业务？</t>
  </si>
  <si>
    <t>您及您亲属是否向委托人或者相关当事人收取除业务费以外的其他费用？</t>
  </si>
  <si>
    <t>您及您亲属是否接受委托人或者相关当事方的款待超出业务活动中的正常往来或款待？</t>
  </si>
  <si>
    <t>您及您亲属是否从委托人或者相关当事方购买商品或服务，且未按照正常的商品程序交易？</t>
  </si>
  <si>
    <t>您及您亲属是否与委托人或者相关当事方或其控股股东、董事、高级管理人员共同开办企业？</t>
  </si>
  <si>
    <t>您及您亲属是否存在为委托人或者相关当事人编制属于该项业务对象的数据或其他记录？</t>
  </si>
  <si>
    <t>您及您亲属是否曾在委托人或者相关当事方担任主要职务（如：董事、监事、经理、主管、财务负责人等），离任后未满两年？</t>
  </si>
  <si>
    <t>您及您亲属是否存在在委托人或相关当事方担任董事、监事、高级管理人员或者其他可能对评估施加重大影响的特定职务？</t>
  </si>
  <si>
    <t>您是否与委托人或相关当事方的董事、监事、高级管理人员或者其他可能对评估施加重大影响的特定人员有近亲关系？</t>
  </si>
  <si>
    <t>您及您亲属是否从委托人或相关当事方取得未按照正常的程序、条款和条件的贷款？</t>
  </si>
  <si>
    <t>您及您亲属是否与委托人或相关当事方从事的业务之间可能存在的其他利益输送或者利益冲突关系情形？</t>
  </si>
  <si>
    <t>您及您亲属是否拥有委托人或相关当事方的股权、债权、有价证券、债务，或者存在担保等可能影响独立性的经济利益关系？</t>
  </si>
  <si>
    <t>您及您亲属是否在委托人或相关当事方中拥有直接经济利益或重大间接利益？是否存在提供直接影响该项业务对象的其他服务？</t>
  </si>
  <si>
    <t>您是否清楚所在公司质量控制制度及独立性制度中有关独立性的规定？</t>
  </si>
  <si>
    <t>不适用</t>
  </si>
  <si>
    <t>调查项目</t>
  </si>
  <si>
    <t>项目负责人：</t>
  </si>
  <si>
    <t>G28</t>
  </si>
  <si>
    <t>索引号</t>
  </si>
  <si>
    <t>项目组成员独立性调查问卷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</si>
</sst>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scheme val="minor"/>
    </font>
    <font>
      <sz val="14"/>
      <name val="宋体"/>
      <family val="3"/>
      <charset val="134"/>
    </font>
    <font>
      <sz val="12"/>
      <name val="宋体"/>
      <family val="3"/>
      <charset val="134"/>
    </font>
    <font>
      <sz val="10.5"/>
      <name val="宋体"/>
      <family val="3"/>
      <charset val="134"/>
    </font>
    <font>
      <sz val="8"/>
      <name val="宋体"/>
      <family val="3"/>
      <charset val="134"/>
    </font>
    <font>
      <sz val="11"/>
      <name val="宋体"/>
      <family val="3"/>
      <charset val="134"/>
    </font>
    <font>
      <sz val="10"/>
      <name val="宋体"/>
      <family val="3"/>
      <charset val="134"/>
    </font>
    <font>
      <sz val="11"/>
      <color indexed="8"/>
      <name val="Helvetica Neue"/>
      <family val="2"/>
    </font>
    <font>
      <sz val="12"/>
      <color indexed="9"/>
      <name val="宋体"/>
      <family val="3"/>
      <charset val="134"/>
    </font>
    <font>
      <sz val="11"/>
      <color indexed="8"/>
      <name val="宋体"/>
      <family val="3"/>
      <charset val="134"/>
    </font>
    <font>
      <sz val="11"/>
      <color rgb="FF000000"/>
      <name val="宋体"/>
      <family val="3"/>
      <charset val="134"/>
    </font>
  </fonts>
  <fills count="3">
    <fill>
      <patternFill patternType="none"/>
    </fill>
    <fill>
      <patternFill patternType="gray125"/>
    </fill>
    <fill>
      <patternFill patternType="solid">
        <fgColor theme="0"/>
        <bgColor indexed="64"/>
      </patternFill>
    </fill>
  </fills>
  <borders count="24">
    <border>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indexed="12"/>
      </right>
      <top/>
      <bottom/>
      <diagonal/>
    </border>
  </borders>
  <cellStyleXfs count="3">
    <xf numFmtId="0" fontId="0" fillId="0" borderId="0"/>
    <xf numFmtId="0" fontId="7" fillId="0" borderId="0" applyNumberFormat="0" applyFill="0" applyBorder="0" applyProtection="0">
      <alignment vertical="top"/>
    </xf>
    <xf numFmtId="0" fontId="9" fillId="0" borderId="0"/>
  </cellStyleXfs>
  <cellXfs count="77">
    <xf numFmtId="0" fontId="0" fillId="0" borderId="0" xfId="0"/>
    <xf numFmtId="0" fontId="1" fillId="2" borderId="0" xfId="1" applyNumberFormat="1" applyFont="1" applyFill="1" applyBorder="1" applyAlignment="1">
      <alignment horizontal="center" vertical="center"/>
    </xf>
    <xf numFmtId="0" fontId="8" fillId="0" borderId="0" xfId="1" applyNumberFormat="1" applyFont="1" applyAlignment="1"/>
    <xf numFmtId="0" fontId="2" fillId="2" borderId="0" xfId="1" applyNumberFormat="1" applyFont="1" applyFill="1" applyBorder="1" applyAlignment="1">
      <alignment horizontal="center" vertical="center"/>
    </xf>
    <xf numFmtId="0" fontId="1" fillId="2" borderId="0" xfId="1" applyNumberFormat="1" applyFont="1" applyFill="1" applyBorder="1" applyAlignment="1">
      <alignment horizontal="center"/>
    </xf>
    <xf numFmtId="0" fontId="2" fillId="2" borderId="0" xfId="1" applyNumberFormat="1" applyFont="1" applyFill="1" applyBorder="1" applyAlignment="1"/>
    <xf numFmtId="0" fontId="2" fillId="2" borderId="0" xfId="1" applyNumberFormat="1" applyFont="1" applyFill="1" applyBorder="1" applyAlignment="1">
      <alignment horizontal="right"/>
    </xf>
    <xf numFmtId="0" fontId="3" fillId="2" borderId="1" xfId="1" applyNumberFormat="1" applyFont="1" applyFill="1" applyBorder="1" applyAlignment="1">
      <alignment horizontal="center" vertical="center" wrapText="1"/>
    </xf>
    <xf numFmtId="0" fontId="3" fillId="2" borderId="2" xfId="1" applyNumberFormat="1" applyFont="1" applyFill="1" applyBorder="1" applyAlignment="1">
      <alignment horizontal="center" vertical="center" wrapText="1"/>
    </xf>
    <xf numFmtId="0" fontId="4" fillId="2" borderId="3" xfId="1" applyNumberFormat="1" applyFont="1" applyFill="1" applyBorder="1" applyAlignment="1">
      <alignment horizontal="center" vertical="center" shrinkToFit="1"/>
    </xf>
    <xf numFmtId="0" fontId="4" fillId="2" borderId="4" xfId="1" applyNumberFormat="1" applyFont="1" applyFill="1" applyBorder="1" applyAlignment="1">
      <alignment horizontal="center" vertical="center" shrinkToFit="1"/>
    </xf>
    <xf numFmtId="0" fontId="4" fillId="2" borderId="5" xfId="1" applyNumberFormat="1" applyFont="1" applyFill="1" applyBorder="1" applyAlignment="1">
      <alignment horizontal="center" vertical="center" shrinkToFit="1"/>
    </xf>
    <xf numFmtId="0" fontId="3" fillId="2" borderId="6" xfId="1" applyNumberFormat="1" applyFont="1" applyFill="1" applyBorder="1" applyAlignment="1">
      <alignment horizontal="center" vertical="center" wrapText="1"/>
    </xf>
    <xf numFmtId="0" fontId="3" fillId="2" borderId="7" xfId="1" applyNumberFormat="1" applyFont="1" applyFill="1" applyBorder="1" applyAlignment="1">
      <alignment horizontal="center" vertical="center" wrapText="1"/>
    </xf>
    <xf numFmtId="0" fontId="4" fillId="2" borderId="7" xfId="1" applyNumberFormat="1" applyFont="1" applyFill="1" applyBorder="1" applyAlignment="1">
      <alignment vertical="center" shrinkToFit="1"/>
    </xf>
    <xf numFmtId="0" fontId="3" fillId="2" borderId="7" xfId="1" applyNumberFormat="1" applyFont="1" applyFill="1" applyBorder="1" applyAlignment="1">
      <alignment horizontal="center" vertical="center" shrinkToFit="1"/>
    </xf>
    <xf numFmtId="0" fontId="4" fillId="2" borderId="7" xfId="1" applyNumberFormat="1" applyFont="1" applyFill="1" applyBorder="1" applyAlignment="1">
      <alignment horizontal="center" vertical="center" shrinkToFit="1"/>
    </xf>
    <xf numFmtId="0" fontId="4" fillId="2" borderId="8" xfId="1" applyNumberFormat="1" applyFont="1" applyFill="1" applyBorder="1" applyAlignment="1">
      <alignment horizontal="center" vertical="center" shrinkToFit="1"/>
    </xf>
    <xf numFmtId="0" fontId="3" fillId="2" borderId="7" xfId="1" applyNumberFormat="1" applyFont="1" applyFill="1" applyBorder="1" applyAlignment="1">
      <alignment horizontal="center" vertical="center" wrapText="1"/>
    </xf>
    <xf numFmtId="0" fontId="4" fillId="2" borderId="7" xfId="1" applyNumberFormat="1" applyFont="1" applyFill="1" applyBorder="1" applyAlignment="1">
      <alignment horizontal="center" vertical="center" shrinkToFit="1"/>
    </xf>
    <xf numFmtId="0" fontId="4" fillId="2" borderId="8" xfId="1" applyNumberFormat="1" applyFont="1" applyFill="1" applyBorder="1" applyAlignment="1">
      <alignment horizontal="center" vertical="center" shrinkToFit="1"/>
    </xf>
    <xf numFmtId="0" fontId="3" fillId="2" borderId="7" xfId="1" applyNumberFormat="1" applyFont="1" applyFill="1" applyBorder="1" applyAlignment="1">
      <alignment horizontal="center" vertical="center" shrinkToFit="1"/>
    </xf>
    <xf numFmtId="0" fontId="3" fillId="2" borderId="8" xfId="1" applyNumberFormat="1" applyFont="1" applyFill="1" applyBorder="1" applyAlignment="1">
      <alignment horizontal="center" vertical="center" shrinkToFit="1"/>
    </xf>
    <xf numFmtId="0" fontId="5" fillId="2" borderId="7" xfId="1" applyNumberFormat="1" applyFont="1" applyFill="1" applyBorder="1" applyAlignment="1">
      <alignment horizontal="center" vertical="center" wrapText="1"/>
    </xf>
    <xf numFmtId="14" fontId="3" fillId="2" borderId="7" xfId="1" applyNumberFormat="1" applyFont="1" applyFill="1" applyBorder="1" applyAlignment="1">
      <alignment horizontal="center" vertical="center" shrinkToFit="1"/>
    </xf>
    <xf numFmtId="14" fontId="3" fillId="2" borderId="8" xfId="1" applyNumberFormat="1" applyFont="1" applyFill="1" applyBorder="1" applyAlignment="1">
      <alignment horizontal="center" vertical="center" shrinkToFit="1"/>
    </xf>
    <xf numFmtId="0" fontId="3" fillId="2" borderId="9" xfId="1" applyNumberFormat="1" applyFont="1" applyFill="1" applyBorder="1" applyAlignment="1">
      <alignment vertical="center" shrinkToFit="1"/>
    </xf>
    <xf numFmtId="0" fontId="3" fillId="2" borderId="10" xfId="1" applyNumberFormat="1" applyFont="1" applyFill="1" applyBorder="1" applyAlignment="1">
      <alignment vertical="center" shrinkToFit="1"/>
    </xf>
    <xf numFmtId="0" fontId="3" fillId="2" borderId="11" xfId="1" applyNumberFormat="1" applyFont="1" applyFill="1" applyBorder="1" applyAlignment="1">
      <alignment vertical="center" shrinkToFit="1"/>
    </xf>
    <xf numFmtId="0" fontId="3" fillId="2" borderId="12" xfId="1" applyNumberFormat="1" applyFont="1" applyFill="1" applyBorder="1" applyAlignment="1">
      <alignment horizontal="center" vertical="center" wrapText="1"/>
    </xf>
    <xf numFmtId="0" fontId="3" fillId="2" borderId="13" xfId="1" applyNumberFormat="1" applyFont="1" applyFill="1" applyBorder="1" applyAlignment="1">
      <alignment horizontal="center" vertical="center" wrapText="1"/>
    </xf>
    <xf numFmtId="0" fontId="6" fillId="2" borderId="13" xfId="1" applyNumberFormat="1" applyFont="1" applyFill="1" applyBorder="1" applyAlignment="1">
      <alignment shrinkToFit="1"/>
    </xf>
    <xf numFmtId="0" fontId="3" fillId="2" borderId="13" xfId="1" applyNumberFormat="1" applyFont="1" applyFill="1" applyBorder="1" applyAlignment="1">
      <alignment horizontal="center" vertical="center" shrinkToFit="1"/>
    </xf>
    <xf numFmtId="14" fontId="3" fillId="2" borderId="14" xfId="1" applyNumberFormat="1" applyFont="1" applyFill="1" applyBorder="1" applyAlignment="1">
      <alignment horizontal="left" vertical="center" shrinkToFit="1"/>
    </xf>
    <xf numFmtId="0" fontId="3" fillId="2" borderId="0" xfId="1" applyNumberFormat="1" applyFont="1" applyFill="1" applyBorder="1" applyAlignment="1">
      <alignment horizontal="center" vertical="center" wrapText="1"/>
    </xf>
    <xf numFmtId="14" fontId="3" fillId="2" borderId="0" xfId="1" applyNumberFormat="1" applyFont="1" applyFill="1" applyBorder="1" applyAlignment="1">
      <alignment horizontal="right" vertical="center" wrapText="1"/>
    </xf>
    <xf numFmtId="14" fontId="3" fillId="2" borderId="0" xfId="1" applyNumberFormat="1" applyFont="1" applyFill="1" applyBorder="1" applyAlignment="1">
      <alignment horizontal="left" vertical="center" wrapText="1"/>
    </xf>
    <xf numFmtId="0" fontId="2" fillId="2" borderId="0" xfId="1" applyNumberFormat="1" applyFont="1" applyFill="1" applyAlignment="1"/>
    <xf numFmtId="14" fontId="2" fillId="2" borderId="15" xfId="1" applyNumberFormat="1" applyFont="1" applyFill="1" applyBorder="1" applyAlignment="1">
      <alignment horizontal="left"/>
    </xf>
    <xf numFmtId="0" fontId="2" fillId="2" borderId="16" xfId="1" applyNumberFormat="1" applyFont="1" applyFill="1" applyBorder="1" applyAlignment="1"/>
    <xf numFmtId="0" fontId="9" fillId="0" borderId="10" xfId="1" applyFont="1" applyBorder="1" applyAlignment="1"/>
    <xf numFmtId="0" fontId="9" fillId="0" borderId="10" xfId="1" applyFont="1" applyBorder="1" applyAlignment="1">
      <alignment horizontal="right"/>
    </xf>
    <xf numFmtId="0" fontId="3" fillId="2" borderId="9" xfId="1" applyNumberFormat="1" applyFont="1" applyFill="1" applyBorder="1" applyAlignment="1">
      <alignment vertical="top" wrapText="1"/>
    </xf>
    <xf numFmtId="0" fontId="5" fillId="2" borderId="7" xfId="1" applyFont="1" applyFill="1" applyBorder="1" applyAlignment="1"/>
    <xf numFmtId="0" fontId="5" fillId="2" borderId="17" xfId="1" applyFont="1" applyFill="1" applyBorder="1" applyAlignment="1"/>
    <xf numFmtId="0" fontId="3" fillId="2" borderId="17" xfId="1" applyNumberFormat="1" applyFont="1" applyFill="1" applyBorder="1" applyAlignment="1">
      <alignment horizontal="justify" vertical="top" wrapText="1"/>
    </xf>
    <xf numFmtId="0" fontId="3" fillId="2" borderId="16" xfId="1" applyNumberFormat="1" applyFont="1" applyFill="1" applyBorder="1" applyAlignment="1">
      <alignment horizontal="justify" vertical="top" wrapText="1"/>
    </xf>
    <xf numFmtId="0" fontId="3" fillId="2" borderId="16" xfId="1" applyNumberFormat="1" applyFont="1" applyFill="1" applyBorder="1" applyAlignment="1">
      <alignment horizontal="justify" vertical="top" wrapText="1"/>
    </xf>
    <xf numFmtId="0" fontId="3" fillId="2" borderId="18" xfId="1" applyNumberFormat="1" applyFont="1" applyFill="1" applyBorder="1" applyAlignment="1">
      <alignment horizontal="justify" vertical="top" wrapText="1"/>
    </xf>
    <xf numFmtId="0" fontId="2" fillId="2" borderId="19" xfId="1" applyNumberFormat="1" applyFont="1" applyFill="1" applyBorder="1" applyAlignment="1"/>
    <xf numFmtId="0" fontId="2" fillId="2" borderId="20" xfId="1" applyNumberFormat="1" applyFont="1" applyFill="1" applyBorder="1" applyAlignment="1"/>
    <xf numFmtId="0" fontId="3" fillId="2" borderId="20" xfId="1" applyNumberFormat="1" applyFont="1" applyFill="1" applyBorder="1" applyAlignment="1">
      <alignment horizontal="right" vertical="top" wrapText="1"/>
    </xf>
    <xf numFmtId="0" fontId="3" fillId="2" borderId="21" xfId="1" applyNumberFormat="1" applyFont="1" applyFill="1" applyBorder="1" applyAlignment="1">
      <alignment horizontal="right" vertical="top" wrapText="1"/>
    </xf>
    <xf numFmtId="0" fontId="2" fillId="2" borderId="22" xfId="1" applyNumberFormat="1" applyFont="1" applyFill="1" applyBorder="1" applyAlignment="1"/>
    <xf numFmtId="0" fontId="3" fillId="2" borderId="22" xfId="1" applyNumberFormat="1" applyFont="1" applyFill="1" applyBorder="1" applyAlignment="1">
      <alignment horizontal="justify" vertical="top" wrapText="1"/>
    </xf>
    <xf numFmtId="0" fontId="3" fillId="2" borderId="7" xfId="1" applyNumberFormat="1" applyFont="1" applyFill="1" applyBorder="1" applyAlignment="1">
      <alignment horizontal="justify" vertical="top" wrapText="1"/>
    </xf>
    <xf numFmtId="0" fontId="2" fillId="2" borderId="7" xfId="1" applyNumberFormat="1" applyFont="1" applyFill="1" applyBorder="1" applyAlignment="1"/>
    <xf numFmtId="0" fontId="3" fillId="2" borderId="7" xfId="1" applyNumberFormat="1" applyFont="1" applyFill="1" applyBorder="1" applyAlignment="1">
      <alignment horizontal="justify" vertical="top" wrapText="1"/>
    </xf>
    <xf numFmtId="0" fontId="5" fillId="2" borderId="7" xfId="1" applyNumberFormat="1" applyFont="1" applyFill="1" applyBorder="1" applyAlignment="1">
      <alignment horizontal="justify" vertical="top" wrapText="1"/>
    </xf>
    <xf numFmtId="0" fontId="3" fillId="2" borderId="7" xfId="1" applyNumberFormat="1" applyFont="1" applyFill="1" applyBorder="1" applyAlignment="1">
      <alignment horizontal="center" vertical="top" wrapText="1"/>
    </xf>
    <xf numFmtId="0" fontId="3" fillId="2" borderId="7" xfId="1" applyNumberFormat="1" applyFont="1" applyFill="1" applyBorder="1" applyAlignment="1">
      <alignment horizontal="center" vertical="top" wrapText="1"/>
    </xf>
    <xf numFmtId="0" fontId="3" fillId="2" borderId="0" xfId="1" applyNumberFormat="1" applyFont="1" applyFill="1" applyBorder="1" applyAlignment="1">
      <alignment horizontal="justify" wrapText="1"/>
    </xf>
    <xf numFmtId="0" fontId="1" fillId="2" borderId="23" xfId="1" applyNumberFormat="1" applyFont="1" applyFill="1" applyBorder="1" applyAlignment="1">
      <alignment horizontal="center" vertical="center"/>
    </xf>
    <xf numFmtId="0" fontId="2" fillId="2" borderId="23" xfId="1" applyNumberFormat="1" applyFont="1" applyFill="1" applyBorder="1" applyAlignment="1">
      <alignment horizontal="center" vertical="center"/>
    </xf>
    <xf numFmtId="0" fontId="9" fillId="0" borderId="0" xfId="2"/>
    <xf numFmtId="14" fontId="9" fillId="0" borderId="0" xfId="2" applyNumberFormat="1" applyAlignment="1">
      <alignment shrinkToFit="1"/>
    </xf>
    <xf numFmtId="0" fontId="5" fillId="0" borderId="0" xfId="2" applyFont="1"/>
    <xf numFmtId="0" fontId="9" fillId="0" borderId="7" xfId="2" applyBorder="1"/>
    <xf numFmtId="0" fontId="9" fillId="0" borderId="7" xfId="2" applyBorder="1" applyAlignment="1">
      <alignment horizontal="center"/>
    </xf>
    <xf numFmtId="0" fontId="10" fillId="0" borderId="7" xfId="2" applyFont="1" applyBorder="1"/>
    <xf numFmtId="0" fontId="5" fillId="0" borderId="7" xfId="2" applyFont="1" applyBorder="1" applyAlignment="1">
      <alignment horizontal="center"/>
    </xf>
    <xf numFmtId="0" fontId="5" fillId="0" borderId="7" xfId="2" applyFont="1" applyBorder="1"/>
    <xf numFmtId="0" fontId="8" fillId="0" borderId="0" xfId="2" applyFont="1"/>
    <xf numFmtId="0" fontId="9" fillId="0" borderId="0" xfId="2" applyAlignment="1">
      <alignment horizontal="center"/>
    </xf>
    <xf numFmtId="0" fontId="9" fillId="0" borderId="0" xfId="2" applyAlignment="1">
      <alignment horizontal="left"/>
    </xf>
    <xf numFmtId="0" fontId="9" fillId="0" borderId="0" xfId="2" applyAlignment="1">
      <alignment horizontal="left"/>
    </xf>
    <xf numFmtId="0" fontId="9" fillId="0" borderId="0" xfId="2" applyAlignment="1">
      <alignment horizontal="center"/>
    </xf>
  </cellXfs>
  <cellStyles count="3">
    <cellStyle name="Normal" xfId="0" builtinId="0"/>
    <cellStyle name="Normal 2" xfId="1" xr:uid="{E689B189-DD68-5C4F-BB05-8410ACA1B50B}"/>
    <cellStyle name="常规_Xl0000026" xfId="2" xr:uid="{B6823AE3-E264-8E44-9323-84C0AC03BB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12304;&#29616;&#34892;&#20351;&#29992;&#12305;&#22478;&#20065;&#35780;&#20272;&#24213;&#31295;&#29256;&#26412;2022%20(1).xlsx" TargetMode="External"/><Relationship Id="rId2" Type="http://schemas.openxmlformats.org/officeDocument/2006/relationships/externalLinkPath" Target="/Users/I307451/Downloads/&#12304;&#29616;&#34892;&#20351;&#29992;&#12305;&#22478;&#20065;&#35780;&#20272;&#24213;&#31295;&#29256;&#26412;2022%20(1).xlsx" TargetMode="External"/><Relationship Id="rId1" Type="http://schemas.openxmlformats.org/officeDocument/2006/relationships/externalLinkPath" Target="/Users/I307451/Downloads/&#12304;&#29616;&#34892;&#20351;&#29992;&#12305;&#22478;&#20065;&#35780;&#20272;&#24213;&#31295;&#29256;&#26412;202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基本信息"/>
      <sheetName val="档案总览"/>
      <sheetName val="目录"/>
      <sheetName val="G-1调查"/>
      <sheetName val="G-2风险"/>
      <sheetName val="G-4计划"/>
      <sheetName val="G-5清单"/>
      <sheetName val="G-6变更"/>
      <sheetName val="G-7专家"/>
      <sheetName val="G-8问题"/>
      <sheetName val="G-9反馈"/>
      <sheetName val="G10-审核"/>
      <sheetName val="G-11签发"/>
      <sheetName val="G-12签收"/>
      <sheetName val="G20-重大事项声明函"/>
      <sheetName val="现场勘查G-27"/>
      <sheetName val="独立性调查G-28"/>
      <sheetName val="S-1"/>
      <sheetName val="S-2 "/>
      <sheetName val="S-3"/>
      <sheetName val="S-4 "/>
      <sheetName val="流动资产 其他资产评估分类汇总表 - C3_1"/>
      <sheetName val="会计政策调查表 - C3_2"/>
      <sheetName val="货币资金评估汇总表 - C3-1_1"/>
      <sheetName val="现金复核表 - C3-1-1"/>
      <sheetName val="现金清查评估明细表 - C3-1-1_1"/>
      <sheetName val="现金作业分析表 - C3-1-1_2"/>
      <sheetName val="银行复核表 - C3-1-2"/>
      <sheetName val="银行明细 - C3-1-2_1"/>
      <sheetName val="银行询证 - C3-1-2_4 "/>
      <sheetName val="其他货币复核表 - C3-1-3"/>
      <sheetName val="其他货币清查 - C3-1-3_1"/>
      <sheetName val="其他货币作业 - C3-1-3_2"/>
      <sheetName val="交易性金融资产复核表 - C3-2"/>
      <sheetName val="交易性金融资产汇总表 - C3-2_1"/>
      <sheetName val="短投-股票清查评估明细表 - C3-2-1_1"/>
      <sheetName val="短投-债券清查评估 - C3-2-2_1"/>
      <sheetName val="短投-基金清查评估 - C3-2-3_1"/>
      <sheetName val="应收票据复核表 - C3-3"/>
      <sheetName val="票据清查评估 - C3-3_1"/>
      <sheetName val="应收账款复核表 - C3-4"/>
      <sheetName val="应收清查评估 - C3-4_1"/>
      <sheetName val="询证 - C3-(    )_2 "/>
      <sheetName val="坏账分析表 - C3-(    ) _ 4"/>
      <sheetName val="预付账款复核表 - C3-5"/>
      <sheetName val="预付清查评估 - C3-5_1"/>
      <sheetName val="应收股利复核表 - C3-6"/>
      <sheetName val="应收股利清查评估 - C3-6_1"/>
      <sheetName val="应收利息复核表 - C3-7"/>
      <sheetName val="应收利息清查评估 - C3-7_1"/>
      <sheetName val="其他应收复核表 - C3-8"/>
      <sheetName val="其他应收清查评估 - C3-8_1"/>
      <sheetName val="代理业务复核表 - C3-9"/>
      <sheetName val="代理业务资产清查评估 - C3-9_1"/>
      <sheetName val="存货复核表 - C3-10"/>
      <sheetName val="存货汇总 - C3-10_1"/>
      <sheetName val="存货-材料采购清查评估 - C3-10-1_1"/>
      <sheetName val="存货——在途物资清查评估明细表 - C3-10-2_1"/>
      <sheetName val="存货——原材料清查评估明细表 - C3-10-3_1"/>
      <sheetName val="存货——（原材料）作业分析表 - C3-10-3_2"/>
      <sheetName val="存货（  ）抽查盘点表 - C3-10-(  ) _ (  )"/>
      <sheetName val="存货——库存商品清查评估明细表 - C3-10-4_1"/>
      <sheetName val="存货(  )询价记录表 - C3-10-(  ) _6"/>
      <sheetName val="存货——发出商品清查评估明细表 - C3-10-5_1"/>
      <sheetName val="发出商品作业分析表 - C3-10-5_2"/>
      <sheetName val="存货——委托加工清查评估明细表 - C3-10-6_1"/>
      <sheetName val="存货——周转材料清查评估明细表 - C3-10-7_1"/>
      <sheetName val="存货——周转材料作业分析表 - C3-10-7_2"/>
      <sheetName val="低值易耗品清查评估 - C3-10-8_1"/>
      <sheetName val="市场途径存货分析表 - C3-10- (  ) _2"/>
      <sheetName val="成本途径存货——产成品清查评估明细表 - C3-10-9_1"/>
      <sheetName val="成本途径存货——产成品作业分析表1 - C3-10-9_2"/>
      <sheetName val="成本途径存货——产成品分析表2 - C3-10-9_3"/>
      <sheetName val="成本途径存货——在产品清查评估明细表 - C3-10-10_1"/>
      <sheetName val="成本途径存货——在产品作业分析表1 - C3-10-10_2"/>
      <sheetName val="成本途径存货——在产品作业分析表2 - C3-10-10_3"/>
      <sheetName val="成本途径参数测算表 - C3-10- (  ) _4"/>
      <sheetName val="其他类存货分析表 - C3-10- (    ) _2"/>
      <sheetName val="一年内到期非流动复核表 - C3-11"/>
      <sheetName val="一年内到期非流动清查评估 - C3-11_1"/>
      <sheetName val="其他流动资产复核表 - C3-12"/>
      <sheetName val="其他流动资产清查评估 - C3-12_1"/>
      <sheetName val="持有至到期投资复核表 - C4-1"/>
      <sheetName val="持有至到期投资清查评估 - C4-1_1"/>
      <sheetName val="可供出售金融资产复核表 - C4-2"/>
      <sheetName val="可供出售金融资产清查评估 - C4-2_1"/>
      <sheetName val="可供出售金融资产作业分析表 - C4-2_2"/>
      <sheetName val="长期股权投资复核表 - C4-3"/>
      <sheetName val="长期股权投资清查评估 - C4-3_1"/>
      <sheetName val="投资性房地产复核表 - C4-4"/>
      <sheetName val="投资性房地产清查评估 - C4-4_1"/>
      <sheetName val="长期应收款复核表 - C4-5"/>
      <sheetName val="长期应收款清查评估 - C4-5_1"/>
      <sheetName val="未实现融资收益复核表 - C4-6"/>
      <sheetName val="未实现融资收益清查评估 - C4-6-1"/>
      <sheetName val="固定资产评估增减值分析汇总表 - C5"/>
      <sheetName val="房屋建筑物复核表 - C5-1"/>
      <sheetName val="分类统计表 - C5-1-1_1-1"/>
      <sheetName val="权属统计表 - C5-1-1_1-2"/>
      <sheetName val="房屋清查评估表 - C5-1-1_2-1"/>
      <sheetName val="房屋清查评估表续1 - C5-1-1_2-2"/>
      <sheetName val="房屋清查评估表续2 - C5-1-1_2-3"/>
      <sheetName val="成本法现场调查表 - C5-1-1_3-1"/>
      <sheetName val="房屋建筑物作业分析表--成本法1 - C5-1-1_3-2"/>
      <sheetName val="房屋建筑物作业分析表－成本法2 - C5-1-1_3-3"/>
      <sheetName val="市场法现场调查表 - C5-1-1_4-1"/>
      <sheetName val="案例调查表 - C5-1-1_4-2"/>
      <sheetName val="市场比较法表 - C5-1-1_4-3"/>
      <sheetName val="收益法现场调查表 - C5-1-1_5-1"/>
      <sheetName val="收益法计算表1 - C5-1-1_5-2"/>
      <sheetName val="收益法计算表2 - C5-1-1_5-3"/>
      <sheetName val="收益法资本化率计算表 - C5-1-1_5-4"/>
      <sheetName val="收益法市场租金调查表 - C5-1-1_5-5"/>
      <sheetName val="租金修正计算表 - C5-1-1_5-6"/>
      <sheetName val="单位产权声明 - C5-1-1_6-1"/>
      <sheetName val="个人产权声明 - C5-1-1_6-2"/>
      <sheetName val="固定资产-构筑物清查表1 - C5-1-2_1-1"/>
      <sheetName val="构筑物清查表2 - C5-1-2_1-2"/>
      <sheetName val="构筑物作业分析表 - C5-1-2_2"/>
      <sheetName val="重置全价计算表 - C5-1-2_3"/>
      <sheetName val="管道和沟槽清查表1 - C5-1-3_1-1"/>
      <sheetName val="管道和沟槽清查表2 - C5-1-3_1-2"/>
      <sheetName val="管道沟槽作业分析表 - C5-1-3_2"/>
      <sheetName val="重置价计算表 - C5-1-3_3"/>
      <sheetName val="设备评估步骤及复核表 - C5-2"/>
      <sheetName val="机器设备清查核实明细表 - C5-2-1_1"/>
      <sheetName val="机器设备（境内采购）评估计算表 - C5-2-1_2"/>
      <sheetName val="机器设备（境外采购）评估计算表 - C5-2-1_3"/>
      <sheetName val="重要机器设备作业分析表 - C5-2-1_4"/>
      <sheetName val="机器设备市场法作业分析表 - C5-2-1_5"/>
      <sheetName val="车辆清查核实表 - C5-2-2_1"/>
      <sheetName val="车辆评估计算表 - C5-2-2_2"/>
      <sheetName val="车辆作业分析表 - C5-2-2_3"/>
      <sheetName val="电子设备清查核实明细表 - C5-2-3_1"/>
      <sheetName val="电子设备评估计算表 - C5-2-3_2"/>
      <sheetName val="在建工程—土建评估步骤及复核表 - C5-3-1"/>
      <sheetName val="在建工程—土建工程清查评估明细表 - C5-3-1_1"/>
      <sheetName val="土建工程作业分析表1 - C5-3-1_2"/>
      <sheetName val="土建工程作业分析表2 - C5-3-1_3"/>
      <sheetName val="在建工程—设备安装评估步骤及复核表 - C5-3-2"/>
      <sheetName val="在建工程--设备安装清查评估明细表 - C5-3-2_1"/>
      <sheetName val="工程物资评估步骤及复核表 - C5-4"/>
      <sheetName val="工程物资清查评估明细表 - C5-4-1"/>
      <sheetName val="固定资产理评估步骤及复核表 - C5-5"/>
      <sheetName val="固定资产清理 - C5-5-1"/>
      <sheetName val="土地使用权评估步骤及复核表 - C6-1"/>
      <sheetName val="土地清查表 - C6-1_1"/>
      <sheetName val="宗地情况调查表 - C6-1_2"/>
      <sheetName val="成本逼近法 - C6-1_3"/>
      <sheetName val="市场法 - C6-1_4-1"/>
      <sheetName val="居住用地价格调查表 - C6-1_4-2"/>
      <sheetName val="工业用地价格调查表 - C6-1_4-3"/>
      <sheetName val="综合用地价格调查表 - C6-1_4-4"/>
      <sheetName val="收益法 - C6-1_5-1"/>
      <sheetName val="收益法（续） - C6-1_5-2"/>
      <sheetName val="假设开发法 - C6-1_6"/>
      <sheetName val="居住用地基准地价修正法 - C6-1_7-1"/>
      <sheetName val="工业用地基准地价修正法 - C6-1_7-2"/>
      <sheetName val="综合用地基准地价修正法 - C6-1_7-3"/>
      <sheetName val="其他无形资产评估步骤及复核表 - C6-2"/>
      <sheetName val="其他无形资产清查明细表 - C6-2_1"/>
      <sheetName val="基本情况调查 - C6-2_2-1"/>
      <sheetName val="成本法 - C6-2_3-1"/>
      <sheetName val="市场法-1 - C6-2_4-1"/>
      <sheetName val="收益法-1 - C6-2_5-1"/>
      <sheetName val="收益期限 - C6-2_5-2"/>
      <sheetName val="收益分析表  - C6-2_5-3"/>
      <sheetName val="收益预测 - C6-2_5-4"/>
      <sheetName val="折现率测算 - C6-2_5-5"/>
      <sheetName val="开发支出评估步骤及复核表 - C6-3"/>
      <sheetName val="开发支出 - C6-3_1"/>
      <sheetName val="长期待摊费用评估步骤及复核表 - C7-1"/>
      <sheetName val=" 长期待摊费用 - C7-1_1"/>
      <sheetName val="递延所得税资产评估步骤及复核表 - C7-2"/>
      <sheetName val="递延所得税资产 - C7-2_1"/>
      <sheetName val="其他非流动资产评估步骤及复核表 - C7-3"/>
      <sheetName val="其他非流动资产 - C7-3_1"/>
      <sheetName val="负债评估汇总表 - C8"/>
      <sheetName val="短期借款评估步骤及复核表 - C8-1"/>
      <sheetName val="短期借款 - C8-1_1"/>
      <sheetName val="交易性金融负债评估步骤及复核表 - C8-2"/>
      <sheetName val="交易性金融负债 - C8-2_1"/>
      <sheetName val="应付票据评估步骤及复核表 - C8-3"/>
      <sheetName val="应付票据 - C8-3_1"/>
      <sheetName val="应付账款评估步骤及复核表 - C8-4"/>
      <sheetName val="应付账款 - C8-4_1"/>
      <sheetName val="预收账款评估步骤及复核表 - C8-5"/>
      <sheetName val="预收账款 - C8-5_1"/>
      <sheetName val="应付职工薪酬评估步骤及复核表 - C8-6"/>
      <sheetName val="应付职工薪酬 - C8-6_1"/>
      <sheetName val="应交税费评估步骤及复核表 - C8-7"/>
      <sheetName val="应交税费 - C8-7_1"/>
      <sheetName val="应付利息评估步骤及复核表 - C8-8"/>
      <sheetName val="应付利息 - C8-8_1"/>
      <sheetName val="应付股利评估步骤及复核表 - C8-9"/>
      <sheetName val="应付股利 - C8-9_1"/>
      <sheetName val="其他应付款评估步骤及复核表 - C8-10"/>
      <sheetName val="其他应付款 - C8-10_1"/>
      <sheetName val="代理业务负债评估步骤及复核表 - C8-11"/>
      <sheetName val="代理业务负债 - C8-11_1"/>
      <sheetName val="递延收益评估步骤及复核表 - C8-12"/>
      <sheetName val="递延收益 - C8-12_1"/>
      <sheetName val="一年内到期的非流动负债评估步骤及复核表 - C8-13"/>
      <sheetName val="一年内到期的非流动负债 - C8-13_1"/>
      <sheetName val="其他流动负债评估步骤及复核表 - C8-14"/>
      <sheetName val="其他流动负债 - C8-14_1"/>
      <sheetName val="长期借款评估步骤及复核表 - C8-15"/>
      <sheetName val="长期借款 - C8-15_1"/>
      <sheetName val="应付债券评估步骤及复核表 - C8-16"/>
      <sheetName val="应付债券 - C8-16_1"/>
      <sheetName val="长期应付款评估步骤及复核表 - C8-17"/>
      <sheetName val="长期应付款 - C8-17_1"/>
      <sheetName val="未确认融资费用评估步骤及复核表 - C8-18"/>
      <sheetName val="未确认融资费用 - C8-18_1"/>
      <sheetName val="专项应付款评估步骤及复核表 - C8-19"/>
      <sheetName val="专项应付 - C8-19_1"/>
      <sheetName val="预计负债评估步骤及复核表 - C8-20"/>
      <sheetName val="预计负债 - C8-20_1"/>
      <sheetName val="递延所得税负债评估步骤及复核表 - C8-21"/>
      <sheetName val="递延所得税负债 - C8-21_1"/>
      <sheetName val="其他非流动负债评估步骤及复核表 - C8-22"/>
      <sheetName val="其他非流动负债 - C8-22_1"/>
      <sheetName val="价格记录 - 表格 1"/>
      <sheetName val="信息收集 - 表格 1"/>
    </sheetNames>
    <sheetDataSet>
      <sheetData sheetId="0">
        <row r="3">
          <cell r="B3" t="str">
            <v>评估基准日</v>
          </cell>
          <cell r="C3" t="str">
            <v>2021/4/31</v>
          </cell>
        </row>
        <row r="5">
          <cell r="C5" t="str">
            <v>股东全部权益</v>
          </cell>
          <cell r="L5" t="str">
            <v>：</v>
          </cell>
        </row>
        <row r="6">
          <cell r="C6" t="str">
            <v>全部资产和全部负债</v>
          </cell>
          <cell r="G6" t="str">
            <v>上海A公司拟股权转让涉及的上海B公司股东全部权益</v>
          </cell>
        </row>
        <row r="7">
          <cell r="C7" t="str">
            <v>市场价值</v>
          </cell>
        </row>
        <row r="8">
          <cell r="C8" t="str">
            <v>上海A公司</v>
          </cell>
        </row>
        <row r="9">
          <cell r="B9" t="str">
            <v>被评估单位</v>
          </cell>
          <cell r="C9" t="str">
            <v>上海B公司</v>
          </cell>
        </row>
        <row r="13">
          <cell r="D13">
            <v>44256</v>
          </cell>
        </row>
        <row r="14">
          <cell r="D14">
            <v>44257</v>
          </cell>
        </row>
        <row r="16">
          <cell r="D16">
            <v>44259</v>
          </cell>
        </row>
        <row r="28">
          <cell r="C28" t="str">
            <v>小包</v>
          </cell>
        </row>
        <row r="37">
          <cell r="C37">
            <v>10</v>
          </cell>
        </row>
        <row r="39">
          <cell r="C39" t="str">
            <v>小王</v>
          </cell>
          <cell r="E39">
            <v>6462222</v>
          </cell>
        </row>
        <row r="40">
          <cell r="C40">
            <v>500</v>
          </cell>
          <cell r="E40" t="str">
            <v>天目中路88888</v>
          </cell>
        </row>
        <row r="41">
          <cell r="C41" t="str">
            <v>小巧</v>
          </cell>
          <cell r="E41" t="str">
            <v>国有</v>
          </cell>
        </row>
        <row r="42">
          <cell r="C42" t="str">
            <v>小欧</v>
          </cell>
          <cell r="E42">
            <v>692414545</v>
          </cell>
        </row>
        <row r="43">
          <cell r="C43" t="str">
            <v>************************</v>
          </cell>
        </row>
        <row r="44">
          <cell r="B44" t="str">
            <v>无</v>
          </cell>
        </row>
        <row r="45">
          <cell r="B45" t="str">
            <v>股东</v>
          </cell>
        </row>
        <row r="46">
          <cell r="B46" t="str">
            <v>暂无</v>
          </cell>
        </row>
        <row r="47">
          <cell r="B47" t="str">
            <v>无特殊</v>
          </cell>
        </row>
        <row r="48">
          <cell r="B48" t="str">
            <v>是</v>
          </cell>
        </row>
      </sheetData>
      <sheetData sheetId="1">
        <row r="8">
          <cell r="B8" t="str">
            <v>股权转让</v>
          </cell>
        </row>
        <row r="10">
          <cell r="B10" t="str">
            <v>2021/4/31</v>
          </cell>
        </row>
      </sheetData>
      <sheetData sheetId="2">
        <row r="1">
          <cell r="A1" t="str">
            <v>上海城乡资产评估有限责任公司</v>
          </cell>
        </row>
        <row r="2">
          <cell r="A2" t="str">
            <v>SHANGHAI URBAN &amp; RURAL ASSETS APPRAISAL CO.,LTD</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9E954-AF2B-F049-A90F-54F0E37C4770}">
  <dimension ref="B1:H23"/>
  <sheetViews>
    <sheetView showGridLines="0" tabSelected="1" topLeftCell="A7" workbookViewId="0">
      <selection activeCell="J12" sqref="J12"/>
    </sheetView>
  </sheetViews>
  <sheetFormatPr baseColWidth="10" defaultColWidth="10.1640625" defaultRowHeight="20.25" customHeight="1"/>
  <cols>
    <col min="1" max="1" width="0.33203125" style="2" customWidth="1"/>
    <col min="2" max="2" width="3.6640625" style="2" customWidth="1"/>
    <col min="3" max="3" width="12.6640625" style="2" customWidth="1"/>
    <col min="4" max="4" width="15.83203125" style="2" customWidth="1"/>
    <col min="5" max="5" width="9.83203125" style="2" customWidth="1"/>
    <col min="6" max="6" width="15.83203125" style="2" customWidth="1"/>
    <col min="7" max="7" width="7.1640625" style="2" customWidth="1"/>
    <col min="8" max="8" width="13.5" style="2" customWidth="1"/>
    <col min="9" max="16384" width="10.1640625" style="2"/>
  </cols>
  <sheetData>
    <row r="1" spans="2:8" ht="20.25" customHeight="1">
      <c r="B1" s="1" t="str">
        <f>[1]目录!A1</f>
        <v>上海城乡资产评估有限责任公司</v>
      </c>
      <c r="C1" s="1"/>
      <c r="D1" s="1"/>
      <c r="E1" s="1"/>
      <c r="F1" s="1"/>
      <c r="G1" s="1"/>
      <c r="H1" s="1"/>
    </row>
    <row r="2" spans="2:8" ht="20.25" customHeight="1">
      <c r="B2" s="3" t="str">
        <f>[1]目录!A2</f>
        <v>SHANGHAI URBAN &amp; RURAL ASSETS APPRAISAL CO.,LTD</v>
      </c>
      <c r="C2" s="3"/>
      <c r="D2" s="3"/>
      <c r="E2" s="3"/>
      <c r="F2" s="3"/>
      <c r="G2" s="3"/>
      <c r="H2" s="3"/>
    </row>
    <row r="3" spans="2:8" ht="20.25" customHeight="1">
      <c r="B3" s="1" t="s">
        <v>0</v>
      </c>
      <c r="C3" s="1"/>
      <c r="D3" s="1"/>
      <c r="E3" s="1"/>
      <c r="F3" s="1"/>
      <c r="G3" s="1"/>
      <c r="H3" s="1"/>
    </row>
    <row r="4" spans="2:8" ht="20.25" customHeight="1" thickBot="1">
      <c r="B4" s="4" t="s">
        <v>1</v>
      </c>
      <c r="C4" s="5"/>
      <c r="D4" s="5"/>
      <c r="E4" s="5"/>
      <c r="F4" s="5"/>
      <c r="G4" s="5"/>
      <c r="H4" s="6" t="s">
        <v>2</v>
      </c>
    </row>
    <row r="5" spans="2:8" ht="28.75" customHeight="1">
      <c r="B5" s="7" t="s">
        <v>3</v>
      </c>
      <c r="C5" s="8"/>
      <c r="D5" s="9" t="str">
        <f>[1]基本信息!G6</f>
        <v>上海A公司拟股权转让涉及的上海B公司股东全部权益</v>
      </c>
      <c r="E5" s="10"/>
      <c r="F5" s="10"/>
      <c r="G5" s="10"/>
      <c r="H5" s="11"/>
    </row>
    <row r="6" spans="2:8" ht="23.25" customHeight="1">
      <c r="B6" s="12" t="s">
        <v>4</v>
      </c>
      <c r="C6" s="13"/>
      <c r="D6" s="14" t="str">
        <f>[1]基本信息!C8</f>
        <v>上海A公司</v>
      </c>
      <c r="E6" s="15" t="s">
        <v>5</v>
      </c>
      <c r="F6" s="16" t="str">
        <f>[1]基本信息!C39</f>
        <v>小王</v>
      </c>
      <c r="G6" s="15" t="s">
        <v>6</v>
      </c>
      <c r="H6" s="17">
        <f>[1]基本信息!E39</f>
        <v>6462222</v>
      </c>
    </row>
    <row r="7" spans="2:8" ht="23.25" customHeight="1">
      <c r="B7" s="12" t="s">
        <v>7</v>
      </c>
      <c r="C7" s="18" t="s">
        <v>8</v>
      </c>
      <c r="D7" s="14" t="str">
        <f>[1]基本信息!C9</f>
        <v>上海B公司</v>
      </c>
      <c r="E7" s="15" t="s">
        <v>9</v>
      </c>
      <c r="F7" s="19" t="str">
        <f>[1]基本信息!E40</f>
        <v>天目中路88888</v>
      </c>
      <c r="G7" s="19"/>
      <c r="H7" s="20"/>
    </row>
    <row r="8" spans="2:8" ht="23.25" customHeight="1">
      <c r="B8" s="12"/>
      <c r="C8" s="18" t="s">
        <v>10</v>
      </c>
      <c r="D8" s="14" t="str">
        <f>[1]基本信息!C41</f>
        <v>小巧</v>
      </c>
      <c r="E8" s="15" t="s">
        <v>11</v>
      </c>
      <c r="F8" s="19" t="str">
        <f>[1]基本信息!E41</f>
        <v>国有</v>
      </c>
      <c r="G8" s="19"/>
      <c r="H8" s="20"/>
    </row>
    <row r="9" spans="2:8" ht="23.25" customHeight="1">
      <c r="B9" s="12"/>
      <c r="C9" s="18" t="s">
        <v>12</v>
      </c>
      <c r="D9" s="16">
        <f>[1]基本信息!C40</f>
        <v>500</v>
      </c>
      <c r="E9" s="15" t="s">
        <v>5</v>
      </c>
      <c r="F9" s="16" t="str">
        <f>[1]基本信息!C42</f>
        <v>小欧</v>
      </c>
      <c r="G9" s="15" t="s">
        <v>6</v>
      </c>
      <c r="H9" s="17">
        <f>[1]基本信息!E42</f>
        <v>692414545</v>
      </c>
    </row>
    <row r="10" spans="2:8" ht="23.25" customHeight="1">
      <c r="B10" s="12"/>
      <c r="C10" s="18" t="s">
        <v>13</v>
      </c>
      <c r="D10" s="19" t="str">
        <f>[1]基本信息!C43</f>
        <v>************************</v>
      </c>
      <c r="E10" s="19"/>
      <c r="F10" s="19"/>
      <c r="G10" s="19"/>
      <c r="H10" s="20"/>
    </row>
    <row r="11" spans="2:8" ht="23.25" customHeight="1">
      <c r="B11" s="12" t="s">
        <v>14</v>
      </c>
      <c r="C11" s="13"/>
      <c r="D11" s="21" t="str">
        <f>[1]基本信息!B44</f>
        <v>无</v>
      </c>
      <c r="E11" s="21"/>
      <c r="F11" s="21"/>
      <c r="G11" s="21"/>
      <c r="H11" s="22"/>
    </row>
    <row r="12" spans="2:8" ht="45" customHeight="1">
      <c r="B12" s="12" t="s">
        <v>15</v>
      </c>
      <c r="C12" s="23"/>
      <c r="D12" s="21" t="str">
        <f>[1]基本信息!B45</f>
        <v>股东</v>
      </c>
      <c r="E12" s="21"/>
      <c r="F12" s="21"/>
      <c r="G12" s="21"/>
      <c r="H12" s="22"/>
    </row>
    <row r="13" spans="2:8" ht="38.25" customHeight="1">
      <c r="B13" s="12" t="s">
        <v>16</v>
      </c>
      <c r="C13" s="13"/>
      <c r="D13" s="21" t="str">
        <f>IF([1]基本信息!B48="是","备案或核准","")</f>
        <v>备案或核准</v>
      </c>
      <c r="E13" s="21"/>
      <c r="F13" s="21"/>
      <c r="G13" s="21"/>
      <c r="H13" s="22"/>
    </row>
    <row r="14" spans="2:8" ht="55" customHeight="1">
      <c r="B14" s="12" t="s">
        <v>17</v>
      </c>
      <c r="C14" s="13"/>
      <c r="D14" s="21" t="str">
        <f>[1]基本信息!B46</f>
        <v>暂无</v>
      </c>
      <c r="E14" s="21"/>
      <c r="F14" s="21"/>
      <c r="G14" s="21"/>
      <c r="H14" s="22"/>
    </row>
    <row r="15" spans="2:8" ht="34.5" customHeight="1">
      <c r="B15" s="12" t="s">
        <v>18</v>
      </c>
      <c r="C15" s="13"/>
      <c r="D15" s="21" t="str">
        <f>[1]档案总览!B8</f>
        <v>股权转让</v>
      </c>
      <c r="E15" s="21"/>
      <c r="F15" s="21"/>
      <c r="G15" s="21"/>
      <c r="H15" s="22"/>
    </row>
    <row r="16" spans="2:8" ht="38.25" customHeight="1">
      <c r="B16" s="12" t="s">
        <v>19</v>
      </c>
      <c r="C16" s="13"/>
      <c r="D16" s="21" t="str">
        <f>"评估对象是"&amp;[1]基本信息!C5&amp;","&amp;"评估范围是"&amp;[1]基本信息!C6</f>
        <v>评估对象是股东全部权益,评估范围是全部资产和全部负债</v>
      </c>
      <c r="E16" s="21"/>
      <c r="F16" s="21"/>
      <c r="G16" s="21"/>
      <c r="H16" s="22"/>
    </row>
    <row r="17" spans="2:8" ht="38.25" customHeight="1">
      <c r="B17" s="12" t="s">
        <v>20</v>
      </c>
      <c r="C17" s="13"/>
      <c r="D17" s="21" t="s">
        <v>21</v>
      </c>
      <c r="E17" s="21"/>
      <c r="F17" s="21"/>
      <c r="G17" s="21"/>
      <c r="H17" s="22"/>
    </row>
    <row r="18" spans="2:8" ht="38.25" customHeight="1">
      <c r="B18" s="12" t="s">
        <v>22</v>
      </c>
      <c r="C18" s="13"/>
      <c r="D18" s="15" t="str">
        <f>[1]基本信息!C7</f>
        <v>市场价值</v>
      </c>
      <c r="E18" s="15" t="s">
        <v>23</v>
      </c>
      <c r="F18" s="24" t="str">
        <f>[1]档案总览!B10</f>
        <v>2021/4/31</v>
      </c>
      <c r="G18" s="24"/>
      <c r="H18" s="25"/>
    </row>
    <row r="19" spans="2:8" ht="38.25" customHeight="1">
      <c r="B19" s="12" t="s">
        <v>24</v>
      </c>
      <c r="C19" s="13"/>
      <c r="D19" s="21" t="str">
        <f>[1]基本信息!B47</f>
        <v>无特殊</v>
      </c>
      <c r="E19" s="21"/>
      <c r="F19" s="21"/>
      <c r="G19" s="21"/>
      <c r="H19" s="22"/>
    </row>
    <row r="20" spans="2:8" ht="38.25" customHeight="1">
      <c r="B20" s="12" t="s">
        <v>25</v>
      </c>
      <c r="C20" s="13"/>
      <c r="D20" s="21" t="s">
        <v>26</v>
      </c>
      <c r="E20" s="21"/>
      <c r="F20" s="21"/>
      <c r="G20" s="21"/>
      <c r="H20" s="22"/>
    </row>
    <row r="21" spans="2:8" ht="38.25" customHeight="1">
      <c r="B21" s="12" t="s">
        <v>27</v>
      </c>
      <c r="C21" s="13"/>
      <c r="D21" s="26"/>
      <c r="E21" s="27">
        <f>[1]基本信息!C37</f>
        <v>10</v>
      </c>
      <c r="F21" s="27" t="s">
        <v>28</v>
      </c>
      <c r="G21" s="27"/>
      <c r="H21" s="28"/>
    </row>
    <row r="22" spans="2:8" ht="27" customHeight="1" thickBot="1">
      <c r="B22" s="29" t="s">
        <v>29</v>
      </c>
      <c r="C22" s="30"/>
      <c r="D22" s="31"/>
      <c r="E22" s="32" t="s">
        <v>30</v>
      </c>
      <c r="F22" s="31"/>
      <c r="G22" s="32" t="s">
        <v>31</v>
      </c>
      <c r="H22" s="33">
        <f>[1]基本信息!D13</f>
        <v>44256</v>
      </c>
    </row>
    <row r="23" spans="2:8" ht="26.25" customHeight="1">
      <c r="B23" s="34" t="s">
        <v>32</v>
      </c>
      <c r="C23" s="34"/>
      <c r="D23" s="5"/>
      <c r="E23" s="5"/>
      <c r="F23" s="5"/>
      <c r="G23" s="35"/>
      <c r="H23" s="36"/>
    </row>
  </sheetData>
  <sheetProtection password="CC30" sheet="1" objects="1" scenarios="1"/>
  <mergeCells count="33">
    <mergeCell ref="B21:C21"/>
    <mergeCell ref="B22:C22"/>
    <mergeCell ref="B23:C23"/>
    <mergeCell ref="B18:C18"/>
    <mergeCell ref="F18:H18"/>
    <mergeCell ref="B19:C19"/>
    <mergeCell ref="D19:H19"/>
    <mergeCell ref="B20:C20"/>
    <mergeCell ref="D20:H20"/>
    <mergeCell ref="B15:C15"/>
    <mergeCell ref="D15:H15"/>
    <mergeCell ref="B16:C16"/>
    <mergeCell ref="D16:H16"/>
    <mergeCell ref="B17:C17"/>
    <mergeCell ref="D17:H17"/>
    <mergeCell ref="B12:C12"/>
    <mergeCell ref="D12:H12"/>
    <mergeCell ref="B13:C13"/>
    <mergeCell ref="D13:H13"/>
    <mergeCell ref="B14:C14"/>
    <mergeCell ref="D14:H14"/>
    <mergeCell ref="B7:B10"/>
    <mergeCell ref="F7:H7"/>
    <mergeCell ref="F8:H8"/>
    <mergeCell ref="D10:H10"/>
    <mergeCell ref="B11:C11"/>
    <mergeCell ref="D11:H11"/>
    <mergeCell ref="B1:H1"/>
    <mergeCell ref="B2:H2"/>
    <mergeCell ref="B3:H3"/>
    <mergeCell ref="B5:C5"/>
    <mergeCell ref="D5:H5"/>
    <mergeCell ref="B6:C6"/>
  </mergeCells>
  <printOptions horizontalCentered="1" verticalCentered="1"/>
  <pageMargins left="0.74803149606299213" right="0.74803149606299213" top="0.98425196850393704" bottom="0.98425196850393704" header="0.59055118110236227" footer="0.51181102362204722"/>
  <pageSetup paperSize="9" orientation="portrait"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717F-7347-2043-8A88-74B301E95D54}">
  <dimension ref="B1:G49"/>
  <sheetViews>
    <sheetView showGridLines="0" workbookViewId="0">
      <selection activeCell="H10" sqref="H10"/>
    </sheetView>
  </sheetViews>
  <sheetFormatPr baseColWidth="10" defaultColWidth="10.1640625" defaultRowHeight="20.25" customHeight="1"/>
  <cols>
    <col min="1" max="1" width="1.33203125" style="37" customWidth="1"/>
    <col min="2" max="2" width="7.5" style="37" customWidth="1"/>
    <col min="3" max="3" width="38.33203125" style="37" customWidth="1"/>
    <col min="4" max="4" width="13.5" style="37" customWidth="1"/>
    <col min="5" max="5" width="8.5" style="37" customWidth="1"/>
    <col min="6" max="6" width="9.83203125" style="37" customWidth="1"/>
    <col min="7" max="16384" width="10.1640625" style="37"/>
  </cols>
  <sheetData>
    <row r="1" spans="2:7" ht="18.75" customHeight="1">
      <c r="B1" s="62" t="str">
        <f>[1]目录!A1</f>
        <v>上海城乡资产评估有限责任公司</v>
      </c>
      <c r="C1" s="62"/>
      <c r="D1" s="62"/>
      <c r="E1" s="62"/>
      <c r="F1" s="1"/>
      <c r="G1" s="5"/>
    </row>
    <row r="2" spans="2:7" ht="18.75" customHeight="1">
      <c r="B2" s="63" t="str">
        <f>[1]目录!A2</f>
        <v>SHANGHAI URBAN &amp; RURAL ASSETS APPRAISAL CO.,LTD</v>
      </c>
      <c r="C2" s="63"/>
      <c r="D2" s="63"/>
      <c r="E2" s="63"/>
      <c r="F2" s="3"/>
      <c r="G2" s="5"/>
    </row>
    <row r="3" spans="2:7" ht="18.75" customHeight="1">
      <c r="B3" s="62" t="s">
        <v>83</v>
      </c>
      <c r="C3" s="62"/>
      <c r="D3" s="62"/>
      <c r="E3" s="62"/>
      <c r="F3" s="1"/>
      <c r="G3" s="5"/>
    </row>
    <row r="4" spans="2:7" ht="14.25" customHeight="1">
      <c r="B4" s="61"/>
      <c r="C4" s="5"/>
      <c r="F4" s="6" t="s">
        <v>33</v>
      </c>
    </row>
    <row r="5" spans="2:7" ht="14.25" customHeight="1">
      <c r="B5" s="60" t="s">
        <v>82</v>
      </c>
      <c r="C5" s="60"/>
      <c r="D5" s="59" t="s">
        <v>81</v>
      </c>
      <c r="E5" s="56"/>
      <c r="F5" s="56"/>
    </row>
    <row r="6" spans="2:7" ht="16.5" customHeight="1">
      <c r="B6" s="55" t="s">
        <v>80</v>
      </c>
      <c r="C6" s="55"/>
      <c r="D6" s="57"/>
      <c r="E6" s="56"/>
      <c r="F6" s="56"/>
    </row>
    <row r="7" spans="2:7" ht="16.5" customHeight="1">
      <c r="B7" s="55" t="s">
        <v>79</v>
      </c>
      <c r="C7" s="55"/>
      <c r="D7" s="57" t="s">
        <v>78</v>
      </c>
      <c r="E7" s="56"/>
      <c r="F7" s="56"/>
    </row>
    <row r="8" spans="2:7" ht="16.5" customHeight="1">
      <c r="B8" s="55" t="s">
        <v>77</v>
      </c>
      <c r="C8" s="55"/>
      <c r="D8" s="57" t="s">
        <v>39</v>
      </c>
      <c r="E8" s="56"/>
      <c r="F8" s="56"/>
    </row>
    <row r="9" spans="2:7" ht="16.5" customHeight="1">
      <c r="B9" s="55" t="s">
        <v>76</v>
      </c>
      <c r="C9" s="55"/>
      <c r="D9" s="57" t="s">
        <v>75</v>
      </c>
      <c r="E9" s="56"/>
      <c r="F9" s="56"/>
    </row>
    <row r="10" spans="2:7" ht="16.5" customHeight="1">
      <c r="B10" s="55" t="s">
        <v>74</v>
      </c>
      <c r="C10" s="55"/>
      <c r="D10" s="57" t="s">
        <v>73</v>
      </c>
      <c r="E10" s="56"/>
      <c r="F10" s="56"/>
    </row>
    <row r="11" spans="2:7" ht="16.5" customHeight="1">
      <c r="B11" s="55" t="s">
        <v>72</v>
      </c>
      <c r="C11" s="55"/>
      <c r="D11" s="57" t="s">
        <v>47</v>
      </c>
      <c r="E11" s="56"/>
      <c r="F11" s="56"/>
    </row>
    <row r="12" spans="2:7" ht="16.5" customHeight="1">
      <c r="B12" s="55" t="s">
        <v>71</v>
      </c>
      <c r="C12" s="58"/>
      <c r="D12" s="57" t="s">
        <v>60</v>
      </c>
      <c r="E12" s="56"/>
      <c r="F12" s="56"/>
    </row>
    <row r="13" spans="2:7" ht="18" customHeight="1">
      <c r="B13" s="55"/>
      <c r="C13" s="55"/>
      <c r="D13" s="57"/>
      <c r="E13" s="56"/>
      <c r="F13" s="56"/>
    </row>
    <row r="14" spans="2:7" ht="16.5" customHeight="1">
      <c r="B14" s="55" t="s">
        <v>70</v>
      </c>
      <c r="C14" s="55"/>
      <c r="D14" s="57"/>
      <c r="E14" s="56"/>
      <c r="F14" s="56"/>
    </row>
    <row r="15" spans="2:7" ht="16.5" customHeight="1">
      <c r="B15" s="55" t="s">
        <v>69</v>
      </c>
      <c r="C15" s="55"/>
      <c r="D15" s="57" t="s">
        <v>49</v>
      </c>
      <c r="E15" s="56"/>
      <c r="F15" s="56"/>
    </row>
    <row r="16" spans="2:7" ht="27.75" customHeight="1">
      <c r="B16" s="55" t="s">
        <v>68</v>
      </c>
      <c r="C16" s="55"/>
      <c r="D16" s="57" t="s">
        <v>39</v>
      </c>
      <c r="E16" s="56"/>
      <c r="F16" s="56"/>
    </row>
    <row r="17" spans="2:6" ht="16.5" customHeight="1">
      <c r="B17" s="55" t="s">
        <v>67</v>
      </c>
      <c r="C17" s="55"/>
      <c r="D17" s="57" t="s">
        <v>49</v>
      </c>
      <c r="E17" s="56"/>
      <c r="F17" s="56"/>
    </row>
    <row r="18" spans="2:6" ht="16.5" customHeight="1">
      <c r="B18" s="55" t="s">
        <v>66</v>
      </c>
      <c r="C18" s="55"/>
      <c r="D18" s="57" t="s">
        <v>49</v>
      </c>
      <c r="E18" s="56"/>
      <c r="F18" s="56"/>
    </row>
    <row r="19" spans="2:6" ht="16.5" customHeight="1">
      <c r="B19" s="55" t="s">
        <v>65</v>
      </c>
      <c r="C19" s="55"/>
      <c r="D19" s="57" t="s">
        <v>49</v>
      </c>
      <c r="E19" s="56"/>
      <c r="F19" s="56"/>
    </row>
    <row r="20" spans="2:6" ht="16.5" customHeight="1">
      <c r="B20" s="55" t="s">
        <v>64</v>
      </c>
      <c r="C20" s="55"/>
      <c r="D20" s="57" t="s">
        <v>49</v>
      </c>
      <c r="E20" s="56"/>
      <c r="F20" s="56"/>
    </row>
    <row r="21" spans="2:6" ht="16.5" customHeight="1">
      <c r="B21" s="55" t="s">
        <v>63</v>
      </c>
      <c r="C21" s="55"/>
      <c r="D21" s="57" t="s">
        <v>49</v>
      </c>
      <c r="E21" s="56"/>
      <c r="F21" s="56"/>
    </row>
    <row r="22" spans="2:6" ht="16.5" customHeight="1">
      <c r="B22" s="55" t="s">
        <v>62</v>
      </c>
      <c r="C22" s="55"/>
      <c r="D22" s="57" t="s">
        <v>49</v>
      </c>
      <c r="E22" s="56"/>
      <c r="F22" s="56"/>
    </row>
    <row r="23" spans="2:6" ht="16.5" customHeight="1">
      <c r="B23" s="55" t="s">
        <v>61</v>
      </c>
      <c r="C23" s="55"/>
      <c r="D23" s="57" t="s">
        <v>60</v>
      </c>
      <c r="E23" s="56"/>
      <c r="F23" s="56"/>
    </row>
    <row r="24" spans="2:6" ht="16.5" customHeight="1">
      <c r="B24" s="55"/>
      <c r="C24" s="55"/>
      <c r="D24" s="57"/>
      <c r="E24" s="56"/>
      <c r="F24" s="56"/>
    </row>
    <row r="25" spans="2:6" ht="16.5" customHeight="1">
      <c r="B25" s="55" t="s">
        <v>59</v>
      </c>
      <c r="C25" s="55"/>
      <c r="D25" s="57"/>
      <c r="E25" s="56"/>
      <c r="F25" s="56"/>
    </row>
    <row r="26" spans="2:6" ht="16.5" customHeight="1">
      <c r="B26" s="55" t="s">
        <v>58</v>
      </c>
      <c r="C26" s="55"/>
      <c r="D26" s="57" t="s">
        <v>49</v>
      </c>
      <c r="E26" s="56"/>
      <c r="F26" s="56"/>
    </row>
    <row r="27" spans="2:6" ht="16.5" customHeight="1">
      <c r="B27" s="55" t="s">
        <v>57</v>
      </c>
      <c r="C27" s="55"/>
      <c r="D27" s="57" t="s">
        <v>47</v>
      </c>
      <c r="E27" s="56"/>
      <c r="F27" s="56"/>
    </row>
    <row r="28" spans="2:6" ht="26.25" customHeight="1">
      <c r="B28" s="55" t="s">
        <v>56</v>
      </c>
      <c r="C28" s="55"/>
      <c r="D28" s="57"/>
      <c r="E28" s="56"/>
      <c r="F28" s="56"/>
    </row>
    <row r="29" spans="2:6" ht="16.5" customHeight="1">
      <c r="B29" s="55"/>
      <c r="C29" s="55"/>
      <c r="D29" s="57"/>
      <c r="E29" s="56"/>
      <c r="F29" s="56"/>
    </row>
    <row r="30" spans="2:6" ht="16.5" customHeight="1">
      <c r="B30" s="55" t="s">
        <v>55</v>
      </c>
      <c r="C30" s="55"/>
      <c r="D30" s="57"/>
      <c r="E30" s="56"/>
      <c r="F30" s="56"/>
    </row>
    <row r="31" spans="2:6" ht="16.5" customHeight="1">
      <c r="B31" s="55" t="s">
        <v>54</v>
      </c>
      <c r="C31" s="55"/>
      <c r="D31" s="57" t="s">
        <v>53</v>
      </c>
      <c r="E31" s="56"/>
      <c r="F31" s="56"/>
    </row>
    <row r="32" spans="2:6" ht="16.5" customHeight="1">
      <c r="B32" s="55" t="s">
        <v>52</v>
      </c>
      <c r="C32" s="55"/>
      <c r="D32" s="57" t="s">
        <v>39</v>
      </c>
      <c r="E32" s="56"/>
      <c r="F32" s="56"/>
    </row>
    <row r="33" spans="2:6" ht="16.5" customHeight="1">
      <c r="B33" s="55" t="s">
        <v>51</v>
      </c>
      <c r="C33" s="55"/>
      <c r="D33" s="57" t="s">
        <v>49</v>
      </c>
      <c r="E33" s="56"/>
      <c r="F33" s="56"/>
    </row>
    <row r="34" spans="2:6" ht="27.75" customHeight="1">
      <c r="B34" s="55" t="s">
        <v>50</v>
      </c>
      <c r="C34" s="55"/>
      <c r="D34" s="57" t="s">
        <v>49</v>
      </c>
      <c r="E34" s="56"/>
      <c r="F34" s="56"/>
    </row>
    <row r="35" spans="2:6" ht="16.5" customHeight="1">
      <c r="B35" s="55" t="s">
        <v>48</v>
      </c>
      <c r="C35" s="55"/>
      <c r="D35" s="57" t="s">
        <v>47</v>
      </c>
      <c r="E35" s="56"/>
      <c r="F35" s="56"/>
    </row>
    <row r="36" spans="2:6" ht="16.5" customHeight="1">
      <c r="B36" s="55"/>
      <c r="C36" s="55"/>
      <c r="D36" s="57"/>
      <c r="E36" s="56"/>
      <c r="F36" s="56"/>
    </row>
    <row r="37" spans="2:6" ht="16.5" customHeight="1">
      <c r="B37" s="55" t="s">
        <v>46</v>
      </c>
      <c r="C37" s="55"/>
      <c r="D37" s="57"/>
      <c r="E37" s="56"/>
      <c r="F37" s="56"/>
    </row>
    <row r="38" spans="2:6" ht="16.5" customHeight="1">
      <c r="B38" s="55" t="s">
        <v>45</v>
      </c>
      <c r="C38" s="55"/>
      <c r="D38" s="57" t="s">
        <v>44</v>
      </c>
      <c r="E38" s="56"/>
      <c r="F38" s="56"/>
    </row>
    <row r="39" spans="2:6" ht="16.5" customHeight="1">
      <c r="B39" s="55" t="s">
        <v>43</v>
      </c>
      <c r="C39" s="55"/>
      <c r="D39" s="57" t="s">
        <v>42</v>
      </c>
      <c r="E39" s="56"/>
      <c r="F39" s="56"/>
    </row>
    <row r="40" spans="2:6" ht="16.5" customHeight="1">
      <c r="B40" s="55" t="s">
        <v>41</v>
      </c>
      <c r="C40" s="55"/>
      <c r="D40" s="57" t="str">
        <f>[1]基本信息!B48</f>
        <v>是</v>
      </c>
      <c r="E40" s="56"/>
      <c r="F40" s="56"/>
    </row>
    <row r="41" spans="2:6" ht="16.5" customHeight="1">
      <c r="B41" s="55" t="s">
        <v>40</v>
      </c>
      <c r="C41" s="55"/>
      <c r="D41" s="57" t="s">
        <v>39</v>
      </c>
      <c r="E41" s="56"/>
      <c r="F41" s="56"/>
    </row>
    <row r="42" spans="2:6" ht="16.5" customHeight="1">
      <c r="B42" s="55" t="s">
        <v>38</v>
      </c>
      <c r="C42" s="55"/>
      <c r="D42" s="55"/>
      <c r="E42" s="43"/>
      <c r="F42" s="43"/>
    </row>
    <row r="43" spans="2:6" ht="16.5" customHeight="1">
      <c r="B43" s="54" t="s">
        <v>37</v>
      </c>
      <c r="C43" s="54"/>
      <c r="D43" s="54"/>
      <c r="E43" s="53"/>
      <c r="F43" s="53"/>
    </row>
    <row r="44" spans="2:6" ht="102" customHeight="1">
      <c r="B44" s="52"/>
      <c r="C44" s="51"/>
      <c r="D44" s="51"/>
      <c r="E44" s="50"/>
      <c r="F44" s="49"/>
    </row>
    <row r="45" spans="2:6" ht="16.5" customHeight="1">
      <c r="B45" s="48" t="s">
        <v>36</v>
      </c>
      <c r="C45" s="47"/>
      <c r="D45" s="46"/>
      <c r="E45" s="39" t="s">
        <v>31</v>
      </c>
      <c r="F45" s="38">
        <f>[1]基本信息!D14</f>
        <v>44257</v>
      </c>
    </row>
    <row r="46" spans="2:6" ht="16.5" customHeight="1">
      <c r="B46" s="45" t="s">
        <v>35</v>
      </c>
      <c r="C46" s="45"/>
      <c r="D46" s="45"/>
      <c r="E46" s="44"/>
      <c r="F46" s="44"/>
    </row>
    <row r="47" spans="2:6" ht="96" customHeight="1">
      <c r="B47" s="43"/>
      <c r="C47" s="43"/>
      <c r="D47" s="43"/>
      <c r="E47" s="43"/>
      <c r="F47" s="43"/>
    </row>
    <row r="48" spans="2:6" ht="16.5" customHeight="1">
      <c r="B48" s="42"/>
      <c r="C48" s="41" t="s">
        <v>34</v>
      </c>
      <c r="D48" s="40"/>
      <c r="E48" s="39" t="s">
        <v>31</v>
      </c>
      <c r="F48" s="38">
        <f>F45</f>
        <v>44257</v>
      </c>
    </row>
    <row r="49" s="37" customFormat="1" ht="16.5" customHeight="1"/>
  </sheetData>
  <sheetProtection password="CC30" sheet="1" objects="1" scenarios="1"/>
  <mergeCells count="45">
    <mergeCell ref="B39:C39"/>
    <mergeCell ref="B36:C36"/>
    <mergeCell ref="B44:D44"/>
    <mergeCell ref="B45:C45"/>
    <mergeCell ref="B46:F47"/>
    <mergeCell ref="B43:D43"/>
    <mergeCell ref="B40:C40"/>
    <mergeCell ref="B41:C41"/>
    <mergeCell ref="B42:F42"/>
    <mergeCell ref="B37:C37"/>
    <mergeCell ref="B38:C38"/>
    <mergeCell ref="B30:C30"/>
    <mergeCell ref="B32:C32"/>
    <mergeCell ref="B33:C33"/>
    <mergeCell ref="B34:C34"/>
    <mergeCell ref="B35:C35"/>
    <mergeCell ref="B31:C31"/>
    <mergeCell ref="B24:C24"/>
    <mergeCell ref="B25:C25"/>
    <mergeCell ref="B26:C26"/>
    <mergeCell ref="B27:C27"/>
    <mergeCell ref="B28:C28"/>
    <mergeCell ref="B29:C29"/>
    <mergeCell ref="B17:C17"/>
    <mergeCell ref="B18:C18"/>
    <mergeCell ref="B20:C20"/>
    <mergeCell ref="B21:C21"/>
    <mergeCell ref="B22:C22"/>
    <mergeCell ref="B23:C23"/>
    <mergeCell ref="B19:C19"/>
    <mergeCell ref="B8:C8"/>
    <mergeCell ref="B9:C9"/>
    <mergeCell ref="B10:C10"/>
    <mergeCell ref="B11:C11"/>
    <mergeCell ref="B12:C12"/>
    <mergeCell ref="B13:C13"/>
    <mergeCell ref="B14:C14"/>
    <mergeCell ref="B15:C15"/>
    <mergeCell ref="B16:C16"/>
    <mergeCell ref="B7:C7"/>
    <mergeCell ref="B5:C5"/>
    <mergeCell ref="B6:C6"/>
    <mergeCell ref="B1:F1"/>
    <mergeCell ref="B2:F2"/>
    <mergeCell ref="B3:F3"/>
  </mergeCells>
  <printOptions horizontalCentered="1"/>
  <pageMargins left="0.74803149606299213" right="0.74803149606299213" top="0.98425196850393704" bottom="1.1499999999999999" header="0.59055118110236227" footer="0.51181102362204722"/>
  <pageSetup paperSize="9" orientation="portrait" verticalDpi="4294967292"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6AB97-F913-1447-9F42-8F7DBC385406}">
  <dimension ref="A1:F26"/>
  <sheetViews>
    <sheetView workbookViewId="0">
      <selection activeCell="B18" sqref="B18"/>
    </sheetView>
  </sheetViews>
  <sheetFormatPr baseColWidth="10" defaultColWidth="9" defaultRowHeight="14"/>
  <cols>
    <col min="1" max="1" width="3.5" style="64" customWidth="1"/>
    <col min="2" max="2" width="106.83203125" style="64" customWidth="1"/>
    <col min="3" max="4" width="4.6640625" style="64" customWidth="1"/>
    <col min="5" max="5" width="9.33203125" style="64" customWidth="1"/>
    <col min="6" max="16384" width="9" style="64"/>
  </cols>
  <sheetData>
    <row r="1" spans="1:6" s="75" customFormat="1">
      <c r="A1" s="76" t="s">
        <v>110</v>
      </c>
      <c r="B1" s="76"/>
      <c r="C1" s="76"/>
      <c r="D1" s="76"/>
      <c r="E1" s="76"/>
    </row>
    <row r="2" spans="1:6">
      <c r="A2" s="74" t="str">
        <f>[1]基本信息!B9&amp;[1]基本信息!L5&amp;[1]基本信息!C9</f>
        <v>被评估单位：上海B公司</v>
      </c>
      <c r="B2" s="74"/>
      <c r="C2" s="74" t="s">
        <v>109</v>
      </c>
      <c r="D2" s="74"/>
      <c r="E2" s="73" t="s">
        <v>108</v>
      </c>
    </row>
    <row r="3" spans="1:6">
      <c r="A3" s="64" t="str">
        <f>[1]基本信息!B3&amp;[1]基本信息!L5&amp;[1]基本信息!C3</f>
        <v>评估基准日：2021/4/31</v>
      </c>
      <c r="C3" s="64" t="s">
        <v>107</v>
      </c>
      <c r="E3" s="73" t="str">
        <f>[1]基本信息!C28</f>
        <v>小包</v>
      </c>
    </row>
    <row r="4" spans="1:6" ht="19" customHeight="1">
      <c r="A4" s="67"/>
      <c r="B4" s="68" t="s">
        <v>106</v>
      </c>
      <c r="C4" s="68" t="s">
        <v>49</v>
      </c>
      <c r="D4" s="68" t="s">
        <v>39</v>
      </c>
      <c r="E4" s="68" t="s">
        <v>105</v>
      </c>
    </row>
    <row r="5" spans="1:6" ht="19" customHeight="1">
      <c r="A5" s="67">
        <v>1</v>
      </c>
      <c r="B5" s="69" t="s">
        <v>104</v>
      </c>
      <c r="C5" s="68" t="s">
        <v>86</v>
      </c>
      <c r="D5" s="68"/>
      <c r="E5" s="68"/>
      <c r="F5" s="72"/>
    </row>
    <row r="6" spans="1:6" ht="19" customHeight="1">
      <c r="A6" s="67">
        <v>2</v>
      </c>
      <c r="B6" s="71" t="s">
        <v>103</v>
      </c>
      <c r="C6" s="68"/>
      <c r="D6" s="68" t="s">
        <v>86</v>
      </c>
      <c r="E6" s="68"/>
    </row>
    <row r="7" spans="1:6" ht="19" customHeight="1">
      <c r="A7" s="67">
        <v>3</v>
      </c>
      <c r="B7" s="69" t="s">
        <v>102</v>
      </c>
      <c r="C7" s="68"/>
      <c r="D7" s="68" t="s">
        <v>86</v>
      </c>
      <c r="E7" s="68"/>
    </row>
    <row r="8" spans="1:6" s="66" customFormat="1" ht="19" customHeight="1">
      <c r="A8" s="71">
        <v>4</v>
      </c>
      <c r="B8" s="71" t="s">
        <v>101</v>
      </c>
      <c r="C8" s="70"/>
      <c r="D8" s="70" t="s">
        <v>86</v>
      </c>
      <c r="E8" s="70"/>
    </row>
    <row r="9" spans="1:6" ht="19" customHeight="1">
      <c r="A9" s="67">
        <v>5</v>
      </c>
      <c r="B9" s="69" t="s">
        <v>100</v>
      </c>
      <c r="C9" s="68"/>
      <c r="D9" s="68" t="s">
        <v>86</v>
      </c>
      <c r="E9" s="68"/>
    </row>
    <row r="10" spans="1:6" ht="19" customHeight="1">
      <c r="A10" s="67">
        <v>6</v>
      </c>
      <c r="B10" s="69" t="s">
        <v>99</v>
      </c>
      <c r="C10" s="68"/>
      <c r="D10" s="68" t="s">
        <v>86</v>
      </c>
      <c r="E10" s="68"/>
    </row>
    <row r="11" spans="1:6" ht="19" customHeight="1">
      <c r="A11" s="67">
        <v>7</v>
      </c>
      <c r="B11" s="69" t="s">
        <v>98</v>
      </c>
      <c r="C11" s="68"/>
      <c r="D11" s="68" t="s">
        <v>86</v>
      </c>
      <c r="E11" s="68"/>
    </row>
    <row r="12" spans="1:6" ht="19" customHeight="1">
      <c r="A12" s="67">
        <v>8</v>
      </c>
      <c r="B12" s="69" t="s">
        <v>97</v>
      </c>
      <c r="C12" s="68"/>
      <c r="D12" s="68" t="s">
        <v>86</v>
      </c>
      <c r="E12" s="68"/>
    </row>
    <row r="13" spans="1:6" ht="19" customHeight="1">
      <c r="A13" s="67">
        <v>9</v>
      </c>
      <c r="B13" s="69" t="s">
        <v>96</v>
      </c>
      <c r="C13" s="68"/>
      <c r="D13" s="68" t="s">
        <v>86</v>
      </c>
      <c r="E13" s="68"/>
    </row>
    <row r="14" spans="1:6" ht="19" customHeight="1">
      <c r="A14" s="67">
        <v>10</v>
      </c>
      <c r="B14" s="69" t="s">
        <v>95</v>
      </c>
      <c r="C14" s="68"/>
      <c r="D14" s="68" t="s">
        <v>86</v>
      </c>
      <c r="E14" s="68"/>
    </row>
    <row r="15" spans="1:6" ht="19" customHeight="1">
      <c r="A15" s="67">
        <v>11</v>
      </c>
      <c r="B15" s="69" t="s">
        <v>94</v>
      </c>
      <c r="C15" s="68"/>
      <c r="D15" s="68" t="s">
        <v>86</v>
      </c>
      <c r="E15" s="68"/>
    </row>
    <row r="16" spans="1:6" ht="19" customHeight="1">
      <c r="A16" s="67">
        <v>12</v>
      </c>
      <c r="B16" s="69" t="s">
        <v>93</v>
      </c>
      <c r="C16" s="68"/>
      <c r="D16" s="68" t="s">
        <v>86</v>
      </c>
      <c r="E16" s="68"/>
    </row>
    <row r="17" spans="1:5" ht="19" customHeight="1">
      <c r="A17" s="67">
        <v>13</v>
      </c>
      <c r="B17" s="69" t="s">
        <v>92</v>
      </c>
      <c r="C17" s="68"/>
      <c r="D17" s="68" t="s">
        <v>86</v>
      </c>
      <c r="E17" s="68"/>
    </row>
    <row r="18" spans="1:5" ht="19" customHeight="1">
      <c r="A18" s="67">
        <v>14</v>
      </c>
      <c r="B18" s="69" t="s">
        <v>91</v>
      </c>
      <c r="C18" s="68"/>
      <c r="D18" s="68" t="s">
        <v>86</v>
      </c>
      <c r="E18" s="68"/>
    </row>
    <row r="19" spans="1:5" ht="19" customHeight="1">
      <c r="A19" s="67">
        <v>15</v>
      </c>
      <c r="B19" s="69" t="s">
        <v>90</v>
      </c>
      <c r="C19" s="68"/>
      <c r="D19" s="68" t="s">
        <v>86</v>
      </c>
      <c r="E19" s="68"/>
    </row>
    <row r="20" spans="1:5" ht="19" customHeight="1">
      <c r="A20" s="67">
        <v>16</v>
      </c>
      <c r="B20" s="69" t="s">
        <v>89</v>
      </c>
      <c r="C20" s="68"/>
      <c r="D20" s="68" t="s">
        <v>86</v>
      </c>
      <c r="E20" s="68"/>
    </row>
    <row r="21" spans="1:5" ht="19" customHeight="1">
      <c r="A21" s="67">
        <v>17</v>
      </c>
      <c r="B21" s="67" t="s">
        <v>88</v>
      </c>
      <c r="C21" s="68"/>
      <c r="D21" s="68" t="s">
        <v>86</v>
      </c>
      <c r="E21" s="68"/>
    </row>
    <row r="22" spans="1:5" ht="19" customHeight="1">
      <c r="A22" s="67">
        <v>18</v>
      </c>
      <c r="B22" s="69" t="s">
        <v>87</v>
      </c>
      <c r="C22" s="68" t="s">
        <v>86</v>
      </c>
      <c r="D22" s="68"/>
      <c r="E22" s="68"/>
    </row>
    <row r="23" spans="1:5" ht="19" customHeight="1">
      <c r="A23" s="67"/>
      <c r="B23" s="67"/>
      <c r="C23" s="67"/>
      <c r="D23" s="67"/>
      <c r="E23" s="67"/>
    </row>
    <row r="24" spans="1:5" ht="15.75" customHeight="1">
      <c r="B24" s="64" t="s">
        <v>85</v>
      </c>
    </row>
    <row r="26" spans="1:5">
      <c r="B26" s="64" t="s">
        <v>84</v>
      </c>
      <c r="C26" s="66" t="s">
        <v>31</v>
      </c>
      <c r="E26" s="65">
        <f>[1]基本信息!D16</f>
        <v>44259</v>
      </c>
    </row>
  </sheetData>
  <sheetProtection password="CC30" sheet="1" objects="1" scenarios="1"/>
  <mergeCells count="3">
    <mergeCell ref="A1:E1"/>
    <mergeCell ref="C2:D2"/>
    <mergeCell ref="A2:B2"/>
  </mergeCells>
  <printOptions horizontalCentered="1" verticalCentered="1"/>
  <pageMargins left="0.33" right="0.36" top="0.98425196850393704" bottom="0.98425196850393704" header="0.59055118110236227" footer="0.51181102362204722"/>
  <pageSetup paperSize="9" orientation="landscape" r:id="rId1"/>
  <headerFooter alignWithMargins="0"/>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G-1调查</vt:lpstr>
      <vt:lpstr>G-2风险</vt:lpstr>
      <vt:lpstr>独立性调查G-28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Eddie</dc:creator>
  <cp:lastModifiedBy>Zhang, Eddie</cp:lastModifiedBy>
  <dcterms:created xsi:type="dcterms:W3CDTF">2026-08-13T06:49:43Z</dcterms:created>
  <dcterms:modified xsi:type="dcterms:W3CDTF">2026-08-13T06:54:19Z</dcterms:modified>
</cp:coreProperties>
</file>